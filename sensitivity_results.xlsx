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Baz_Senaryo" sheetId="1" state="visible" r:id="rId1"/>
    <sheet name="1_Talep_d_i" sheetId="2" state="visible" r:id="rId2"/>
    <sheet name="2_Dis_Su_Maliyeti_cext" sheetId="3" state="visible" r:id="rId3"/>
    <sheet name="3_Acilis_Maliyeti_Fk" sheetId="4" state="visible" r:id="rId4"/>
    <sheet name="4_Isletme_Maliyeti_Ok" sheetId="5" state="visible" r:id="rId5"/>
    <sheet name="5_Kapasite_Ck" sheetId="6" state="visible" r:id="rId6"/>
    <sheet name="6_Tornado_Oz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;0.0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164" fontId="3" fillId="4" borderId="2" applyAlignment="1" pivotButton="0" quotePrefix="0" xfId="0">
      <alignment vertical="top" wrapText="1"/>
    </xf>
    <xf numFmtId="3" fontId="3" fillId="3" borderId="2" applyAlignment="1" pivotButton="0" quotePrefix="0" xfId="0">
      <alignment vertical="top" wrapText="1"/>
    </xf>
    <xf numFmtId="3" fontId="3" fillId="0" borderId="2" applyAlignment="1" pivotButton="0" quotePrefix="0" xfId="0">
      <alignment vertical="top" wrapText="1"/>
    </xf>
    <xf numFmtId="164" fontId="3" fillId="5" borderId="2" applyAlignment="1" pivotButton="0" quotePrefix="0" xfId="0">
      <alignment vertical="top" wrapText="1"/>
    </xf>
    <xf numFmtId="164" fontId="3" fillId="6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Tornado Analizi — Maliyet Üzerindeki Etki Büyüklüğü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'6_Tornado_Ozet'!G1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'6_Tornado_Ozet'!$A$2:$A$6</f>
            </numRef>
          </cat>
          <val>
            <numRef>
              <f>'6_Tornado_Ozet'!$G$2:$G$6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Maliyet Aralığı (TL)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Parametre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</cols>
  <sheetData>
    <row r="1" ht="30" customHeight="1">
      <c r="A1" s="2" t="inlineStr">
        <is>
          <t>Metrik</t>
        </is>
      </c>
      <c r="B1" s="2" t="inlineStr">
        <is>
          <t>Baz Değer</t>
        </is>
      </c>
    </row>
    <row r="2">
      <c r="A2" s="3" t="inlineStr">
        <is>
          <t>Çözüm Durumu</t>
        </is>
      </c>
      <c r="B2" s="3" t="inlineStr">
        <is>
          <t>Optimal</t>
        </is>
      </c>
    </row>
    <row r="3">
      <c r="A3" s="4" t="inlineStr">
        <is>
          <t>Toplam Maliyet (TL)</t>
        </is>
      </c>
      <c r="B3" s="4" t="n">
        <v>46229163</v>
      </c>
    </row>
    <row r="4">
      <c r="A4" s="3" t="inlineStr">
        <is>
          <t>Açılan Tank Sayısı</t>
        </is>
      </c>
      <c r="B4" s="3" t="n">
        <v>47</v>
      </c>
    </row>
    <row r="5">
      <c r="A5" s="4" t="inlineStr">
        <is>
          <t>Kapsanan Talep Noktası</t>
        </is>
      </c>
      <c r="B5" s="4" t="n">
        <v>26</v>
      </c>
    </row>
    <row r="6">
      <c r="A6" s="3" t="inlineStr">
        <is>
          <t>Dış Su İhtiyacı (m³)</t>
        </is>
      </c>
      <c r="B6" s="3" t="n">
        <v>5707.8</v>
      </c>
    </row>
    <row r="7">
      <c r="A7" s="4" t="inlineStr">
        <is>
          <t>c_ext (TL/m³)</t>
        </is>
      </c>
      <c r="B7" s="4" t="n">
        <v>85</v>
      </c>
    </row>
    <row r="8">
      <c r="A8" s="3" t="inlineStr">
        <is>
          <t>S_max (%)</t>
        </is>
      </c>
      <c r="B8" s="3" t="n">
        <v>25</v>
      </c>
    </row>
    <row r="9">
      <c r="A9" s="4" t="inlineStr">
        <is>
          <t>M_min (m)</t>
        </is>
      </c>
      <c r="B9" s="4" t="n">
        <v>250</v>
      </c>
    </row>
    <row r="10">
      <c r="A10" s="3" t="inlineStr">
        <is>
          <t>Tank K1 Kap. (m³)</t>
        </is>
      </c>
      <c r="B10" s="3" t="n">
        <v>250</v>
      </c>
    </row>
    <row r="11">
      <c r="A11" s="4" t="inlineStr">
        <is>
          <t>Tank K2 Kap. (m³)</t>
        </is>
      </c>
      <c r="B11" s="4" t="n">
        <v>500</v>
      </c>
    </row>
    <row r="12">
      <c r="A12" s="3" t="inlineStr">
        <is>
          <t>Tank K3 Kap. (m³)</t>
        </is>
      </c>
      <c r="B12" s="3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3" customWidth="1" min="3" max="3"/>
    <col width="24" customWidth="1" min="4" max="4"/>
    <col width="15" customWidth="1" min="5" max="5"/>
    <col width="18" customWidth="1" min="6" max="6"/>
    <col width="15" customWidth="1" min="7" max="7"/>
    <col width="11" customWidth="1" min="8" max="8"/>
  </cols>
  <sheetData>
    <row r="1" ht="30" customHeight="1">
      <c r="A1" s="2" t="inlineStr">
        <is>
          <t>Değişim (%)</t>
        </is>
      </c>
      <c r="B1" s="2" t="inlineStr">
        <is>
          <t>Faktör</t>
        </is>
      </c>
      <c r="C1" s="2" t="inlineStr">
        <is>
          <t>Toplam Maliyet (TL)</t>
        </is>
      </c>
      <c r="D1" s="2" t="inlineStr">
        <is>
          <t>Maliyet Değişimi (%)</t>
        </is>
      </c>
      <c r="E1" s="2" t="inlineStr">
        <is>
          <t>Açılan Tank</t>
        </is>
      </c>
      <c r="F1" s="2" t="inlineStr">
        <is>
          <t>Kapsanan Nokta</t>
        </is>
      </c>
      <c r="G1" s="2" t="inlineStr">
        <is>
          <t>Dış Su (m³)</t>
        </is>
      </c>
      <c r="H1" s="2" t="inlineStr">
        <is>
          <t>Durum</t>
        </is>
      </c>
    </row>
    <row r="2">
      <c r="A2" s="5" t="n">
        <v>-30</v>
      </c>
      <c r="B2" s="3" t="n">
        <v>0.7</v>
      </c>
      <c r="C2" s="6" t="n">
        <v>36940124</v>
      </c>
      <c r="D2" s="5" t="n">
        <v>-20.09</v>
      </c>
      <c r="E2" s="3" t="n">
        <v>49</v>
      </c>
      <c r="F2" s="3" t="n">
        <v>26</v>
      </c>
      <c r="G2" s="3" t="n">
        <v>989.7</v>
      </c>
      <c r="H2" s="3" t="inlineStr">
        <is>
          <t>Optimal</t>
        </is>
      </c>
    </row>
    <row r="3">
      <c r="A3" s="5" t="n">
        <v>-20</v>
      </c>
      <c r="B3" s="4" t="n">
        <v>0.8</v>
      </c>
      <c r="C3" s="7" t="n">
        <v>40326780</v>
      </c>
      <c r="D3" s="5" t="n">
        <v>-12.77</v>
      </c>
      <c r="E3" s="4" t="n">
        <v>50</v>
      </c>
      <c r="F3" s="4" t="n">
        <v>26</v>
      </c>
      <c r="G3" s="4" t="n">
        <v>4032.7</v>
      </c>
      <c r="H3" s="4" t="inlineStr">
        <is>
          <t>Optimal</t>
        </is>
      </c>
    </row>
    <row r="4">
      <c r="A4" s="5" t="n">
        <v>-10</v>
      </c>
      <c r="B4" s="3" t="n">
        <v>0.9</v>
      </c>
      <c r="C4" s="6" t="n">
        <v>46008018</v>
      </c>
      <c r="D4" s="5" t="n">
        <v>-0.48</v>
      </c>
      <c r="E4" s="3" t="n">
        <v>47</v>
      </c>
      <c r="F4" s="3" t="n">
        <v>26</v>
      </c>
      <c r="G4" s="3" t="n">
        <v>3106.1</v>
      </c>
      <c r="H4" s="3" t="inlineStr">
        <is>
          <t>Optimal</t>
        </is>
      </c>
    </row>
    <row r="5">
      <c r="A5" s="8" t="n">
        <v>0</v>
      </c>
      <c r="B5" s="4" t="n">
        <v>1</v>
      </c>
      <c r="C5" s="7" t="n">
        <v>46229163</v>
      </c>
      <c r="D5" s="8" t="n">
        <v>0</v>
      </c>
      <c r="E5" s="4" t="n">
        <v>47</v>
      </c>
      <c r="F5" s="4" t="n">
        <v>26</v>
      </c>
      <c r="G5" s="4" t="n">
        <v>5707.8</v>
      </c>
      <c r="H5" s="4" t="inlineStr">
        <is>
          <t>Optimal</t>
        </is>
      </c>
    </row>
    <row r="6">
      <c r="A6" s="9" t="n">
        <v>10</v>
      </c>
      <c r="B6" s="3" t="n">
        <v>1.1</v>
      </c>
      <c r="C6" s="6" t="n">
        <v>54419846</v>
      </c>
      <c r="D6" s="9" t="n">
        <v>17.72</v>
      </c>
      <c r="E6" s="3" t="n">
        <v>70</v>
      </c>
      <c r="F6" s="3" t="n">
        <v>26</v>
      </c>
      <c r="G6" s="3" t="n">
        <v>3362.9</v>
      </c>
      <c r="H6" s="3" t="inlineStr">
        <is>
          <t>Optimal</t>
        </is>
      </c>
    </row>
    <row r="7">
      <c r="A7" s="9" t="n">
        <v>20</v>
      </c>
      <c r="B7" s="4" t="n">
        <v>1.2</v>
      </c>
      <c r="C7" s="7" t="n">
        <v>59099218</v>
      </c>
      <c r="D7" s="9" t="n">
        <v>27.84</v>
      </c>
      <c r="E7" s="4" t="n">
        <v>58</v>
      </c>
      <c r="F7" s="4" t="n">
        <v>26</v>
      </c>
      <c r="G7" s="4" t="n">
        <v>5755.5</v>
      </c>
      <c r="H7" s="4" t="inlineStr">
        <is>
          <t>Optimal</t>
        </is>
      </c>
    </row>
    <row r="8">
      <c r="A8" s="9" t="n">
        <v>30</v>
      </c>
      <c r="B8" s="3" t="n">
        <v>1.3</v>
      </c>
      <c r="C8" s="6" t="n">
        <v>64909955</v>
      </c>
      <c r="D8" s="9" t="n">
        <v>40.41</v>
      </c>
      <c r="E8" s="3" t="n">
        <v>61</v>
      </c>
      <c r="F8" s="3" t="n">
        <v>26</v>
      </c>
      <c r="G8" s="3" t="n">
        <v>6423</v>
      </c>
      <c r="H8" s="3" t="inlineStr">
        <is>
          <t>Optimal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3" customWidth="1" min="3" max="3"/>
    <col width="24" customWidth="1" min="4" max="4"/>
    <col width="15" customWidth="1" min="5" max="5"/>
    <col width="15" customWidth="1" min="6" max="6"/>
    <col width="11" customWidth="1" min="7" max="7"/>
  </cols>
  <sheetData>
    <row r="1" ht="30" customHeight="1">
      <c r="A1" s="2" t="inlineStr">
        <is>
          <t>Değişim (%)</t>
        </is>
      </c>
      <c r="B1" s="2" t="inlineStr">
        <is>
          <t>c_ext (TL/m³)</t>
        </is>
      </c>
      <c r="C1" s="2" t="inlineStr">
        <is>
          <t>Toplam Maliyet (TL)</t>
        </is>
      </c>
      <c r="D1" s="2" t="inlineStr">
        <is>
          <t>Maliyet Değişimi (%)</t>
        </is>
      </c>
      <c r="E1" s="2" t="inlineStr">
        <is>
          <t>Açılan Tank</t>
        </is>
      </c>
      <c r="F1" s="2" t="inlineStr">
        <is>
          <t>Dış Su (m³)</t>
        </is>
      </c>
      <c r="G1" s="2" t="inlineStr">
        <is>
          <t>Durum</t>
        </is>
      </c>
    </row>
    <row r="2">
      <c r="A2" s="5" t="n">
        <v>-40</v>
      </c>
      <c r="B2" s="6" t="n">
        <v>51</v>
      </c>
      <c r="C2" s="6" t="n">
        <v>46035098</v>
      </c>
      <c r="D2" s="5" t="n">
        <v>-0.42</v>
      </c>
      <c r="E2" s="3" t="n">
        <v>47</v>
      </c>
      <c r="F2" s="3" t="n">
        <v>5707.8</v>
      </c>
      <c r="G2" s="3" t="inlineStr">
        <is>
          <t>Optimal</t>
        </is>
      </c>
    </row>
    <row r="3">
      <c r="A3" s="5" t="n">
        <v>-20</v>
      </c>
      <c r="B3" s="7" t="n">
        <v>68</v>
      </c>
      <c r="C3" s="7" t="n">
        <v>46132130</v>
      </c>
      <c r="D3" s="5" t="n">
        <v>-0.21</v>
      </c>
      <c r="E3" s="4" t="n">
        <v>47</v>
      </c>
      <c r="F3" s="4" t="n">
        <v>5707.8</v>
      </c>
      <c r="G3" s="4" t="inlineStr">
        <is>
          <t>Optimal</t>
        </is>
      </c>
    </row>
    <row r="4">
      <c r="A4" s="8" t="n">
        <v>0</v>
      </c>
      <c r="B4" s="6" t="n">
        <v>85</v>
      </c>
      <c r="C4" s="6" t="n">
        <v>46229163</v>
      </c>
      <c r="D4" s="8" t="n">
        <v>0</v>
      </c>
      <c r="E4" s="3" t="n">
        <v>47</v>
      </c>
      <c r="F4" s="3" t="n">
        <v>5707.8</v>
      </c>
      <c r="G4" s="3" t="inlineStr">
        <is>
          <t>Optimal</t>
        </is>
      </c>
    </row>
    <row r="5">
      <c r="A5" s="9" t="n">
        <v>20</v>
      </c>
      <c r="B5" s="7" t="n">
        <v>102</v>
      </c>
      <c r="C5" s="7" t="n">
        <v>46326196</v>
      </c>
      <c r="D5" s="9" t="n">
        <v>0.21</v>
      </c>
      <c r="E5" s="4" t="n">
        <v>47</v>
      </c>
      <c r="F5" s="4" t="n">
        <v>5707.8</v>
      </c>
      <c r="G5" s="4" t="inlineStr">
        <is>
          <t>Optimal</t>
        </is>
      </c>
    </row>
    <row r="6">
      <c r="A6" s="9" t="n">
        <v>40</v>
      </c>
      <c r="B6" s="6" t="n">
        <v>119</v>
      </c>
      <c r="C6" s="6" t="n">
        <v>46415577</v>
      </c>
      <c r="D6" s="9" t="n">
        <v>0.4</v>
      </c>
      <c r="E6" s="3" t="n">
        <v>50</v>
      </c>
      <c r="F6" s="3" t="n">
        <v>4383</v>
      </c>
      <c r="G6" s="3" t="inlineStr">
        <is>
          <t>Optimal</t>
        </is>
      </c>
    </row>
    <row r="7">
      <c r="A7" s="9" t="n">
        <v>60</v>
      </c>
      <c r="B7" s="7" t="n">
        <v>136</v>
      </c>
      <c r="C7" s="7" t="n">
        <v>46483131</v>
      </c>
      <c r="D7" s="9" t="n">
        <v>0.55</v>
      </c>
      <c r="E7" s="4" t="n">
        <v>51</v>
      </c>
      <c r="F7" s="4" t="n">
        <v>3964.2</v>
      </c>
      <c r="G7" s="4" t="inlineStr">
        <is>
          <t>Optimal</t>
        </is>
      </c>
    </row>
    <row r="8">
      <c r="A8" s="9" t="n">
        <v>100</v>
      </c>
      <c r="B8" s="6" t="n">
        <v>170</v>
      </c>
      <c r="C8" s="6" t="n">
        <v>46600821</v>
      </c>
      <c r="D8" s="9" t="n">
        <v>0.8</v>
      </c>
      <c r="E8" s="3" t="n">
        <v>54</v>
      </c>
      <c r="F8" s="3" t="n">
        <v>2981.3</v>
      </c>
      <c r="G8" s="3" t="inlineStr">
        <is>
          <t>Optimal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3" customWidth="1" min="4" max="4"/>
    <col width="23" customWidth="1" min="5" max="5"/>
    <col width="24" customWidth="1" min="6" max="6"/>
    <col width="15" customWidth="1" min="7" max="7"/>
    <col width="11" customWidth="1" min="8" max="8"/>
  </cols>
  <sheetData>
    <row r="1" ht="30" customHeight="1">
      <c r="A1" s="2" t="inlineStr">
        <is>
          <t>Değişim (%)</t>
        </is>
      </c>
      <c r="B1" s="2" t="inlineStr">
        <is>
          <t>F_K1 (TL)</t>
        </is>
      </c>
      <c r="C1" s="2" t="inlineStr">
        <is>
          <t>F_K2 (TL)</t>
        </is>
      </c>
      <c r="D1" s="2" t="inlineStr">
        <is>
          <t>F_K3 (TL)</t>
        </is>
      </c>
      <c r="E1" s="2" t="inlineStr">
        <is>
          <t>Toplam Maliyet (TL)</t>
        </is>
      </c>
      <c r="F1" s="2" t="inlineStr">
        <is>
          <t>Maliyet Değişimi (%)</t>
        </is>
      </c>
      <c r="G1" s="2" t="inlineStr">
        <is>
          <t>Açılan Tank</t>
        </is>
      </c>
      <c r="H1" s="2" t="inlineStr">
        <is>
          <t>Durum</t>
        </is>
      </c>
    </row>
    <row r="2">
      <c r="A2" s="5" t="n">
        <v>-30</v>
      </c>
      <c r="B2" s="6" t="n">
        <v>210000</v>
      </c>
      <c r="C2" s="6" t="n">
        <v>392000</v>
      </c>
      <c r="D2" s="6" t="n">
        <v>756000</v>
      </c>
      <c r="E2" s="6" t="n">
        <v>33574786</v>
      </c>
      <c r="F2" s="5" t="n">
        <v>-27.37</v>
      </c>
      <c r="G2" s="3" t="n">
        <v>48</v>
      </c>
      <c r="H2" s="3" t="inlineStr">
        <is>
          <t>Optimal</t>
        </is>
      </c>
    </row>
    <row r="3">
      <c r="A3" s="5" t="n">
        <v>-20</v>
      </c>
      <c r="B3" s="7" t="n">
        <v>240000</v>
      </c>
      <c r="C3" s="7" t="n">
        <v>448000</v>
      </c>
      <c r="D3" s="7" t="n">
        <v>864000</v>
      </c>
      <c r="E3" s="7" t="n">
        <v>37793163</v>
      </c>
      <c r="F3" s="5" t="n">
        <v>-18.25</v>
      </c>
      <c r="G3" s="4" t="n">
        <v>47</v>
      </c>
      <c r="H3" s="4" t="inlineStr">
        <is>
          <t>Optimal</t>
        </is>
      </c>
    </row>
    <row r="4">
      <c r="A4" s="5" t="n">
        <v>-10</v>
      </c>
      <c r="B4" s="6" t="n">
        <v>270000</v>
      </c>
      <c r="C4" s="6" t="n">
        <v>504000</v>
      </c>
      <c r="D4" s="6" t="n">
        <v>972000</v>
      </c>
      <c r="E4" s="6" t="n">
        <v>42011163</v>
      </c>
      <c r="F4" s="5" t="n">
        <v>-9.119999999999999</v>
      </c>
      <c r="G4" s="3" t="n">
        <v>47</v>
      </c>
      <c r="H4" s="3" t="inlineStr">
        <is>
          <t>Optimal</t>
        </is>
      </c>
    </row>
    <row r="5">
      <c r="A5" s="8" t="n">
        <v>0</v>
      </c>
      <c r="B5" s="7" t="n">
        <v>300000</v>
      </c>
      <c r="C5" s="7" t="n">
        <v>560000</v>
      </c>
      <c r="D5" s="7" t="n">
        <v>1080000</v>
      </c>
      <c r="E5" s="7" t="n">
        <v>46229163</v>
      </c>
      <c r="F5" s="8" t="n">
        <v>0</v>
      </c>
      <c r="G5" s="4" t="n">
        <v>47</v>
      </c>
      <c r="H5" s="4" t="inlineStr">
        <is>
          <t>Optimal</t>
        </is>
      </c>
    </row>
    <row r="6">
      <c r="A6" s="9" t="n">
        <v>10</v>
      </c>
      <c r="B6" s="6" t="n">
        <v>330000</v>
      </c>
      <c r="C6" s="6" t="n">
        <v>616000</v>
      </c>
      <c r="D6" s="6" t="n">
        <v>1188000</v>
      </c>
      <c r="E6" s="6" t="n">
        <v>50447163</v>
      </c>
      <c r="F6" s="9" t="n">
        <v>9.119999999999999</v>
      </c>
      <c r="G6" s="3" t="n">
        <v>47</v>
      </c>
      <c r="H6" s="3" t="inlineStr">
        <is>
          <t>Optimal</t>
        </is>
      </c>
    </row>
    <row r="7">
      <c r="A7" s="9" t="n">
        <v>20</v>
      </c>
      <c r="B7" s="7" t="n">
        <v>360000</v>
      </c>
      <c r="C7" s="7" t="n">
        <v>672000</v>
      </c>
      <c r="D7" s="7" t="n">
        <v>1296000</v>
      </c>
      <c r="E7" s="7" t="n">
        <v>54665163</v>
      </c>
      <c r="F7" s="9" t="n">
        <v>18.25</v>
      </c>
      <c r="G7" s="4" t="n">
        <v>47</v>
      </c>
      <c r="H7" s="4" t="inlineStr">
        <is>
          <t>Optimal</t>
        </is>
      </c>
    </row>
    <row r="8">
      <c r="A8" s="9" t="n">
        <v>30</v>
      </c>
      <c r="B8" s="6" t="n">
        <v>390000</v>
      </c>
      <c r="C8" s="6" t="n">
        <v>728000</v>
      </c>
      <c r="D8" s="6" t="n">
        <v>1404000</v>
      </c>
      <c r="E8" s="6" t="n">
        <v>58883163</v>
      </c>
      <c r="F8" s="9" t="n">
        <v>27.37</v>
      </c>
      <c r="G8" s="3" t="n">
        <v>47</v>
      </c>
      <c r="H8" s="3" t="inlineStr">
        <is>
          <t>Optimal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17" customWidth="1" min="4" max="4"/>
    <col width="23" customWidth="1" min="5" max="5"/>
    <col width="24" customWidth="1" min="6" max="6"/>
    <col width="15" customWidth="1" min="7" max="7"/>
    <col width="11" customWidth="1" min="8" max="8"/>
  </cols>
  <sheetData>
    <row r="1" ht="30" customHeight="1">
      <c r="A1" s="2" t="inlineStr">
        <is>
          <t>Değişim (%)</t>
        </is>
      </c>
      <c r="B1" s="2" t="inlineStr">
        <is>
          <t>O_K1 (TL/yıl)</t>
        </is>
      </c>
      <c r="C1" s="2" t="inlineStr">
        <is>
          <t>O_K2 (TL/yıl)</t>
        </is>
      </c>
      <c r="D1" s="2" t="inlineStr">
        <is>
          <t>O_K3 (TL/yıl)</t>
        </is>
      </c>
      <c r="E1" s="2" t="inlineStr">
        <is>
          <t>Toplam Maliyet (TL)</t>
        </is>
      </c>
      <c r="F1" s="2" t="inlineStr">
        <is>
          <t>Maliyet Değişimi (%)</t>
        </is>
      </c>
      <c r="G1" s="2" t="inlineStr">
        <is>
          <t>Açılan Tank</t>
        </is>
      </c>
      <c r="H1" s="2" t="inlineStr">
        <is>
          <t>Durum</t>
        </is>
      </c>
    </row>
    <row r="2">
      <c r="A2" s="5" t="n">
        <v>-30</v>
      </c>
      <c r="B2" s="6" t="n">
        <v>19600</v>
      </c>
      <c r="C2" s="6" t="n">
        <v>35000</v>
      </c>
      <c r="D2" s="6" t="n">
        <v>63000</v>
      </c>
      <c r="E2" s="6" t="n">
        <v>45159963</v>
      </c>
      <c r="F2" s="5" t="n">
        <v>-2.31</v>
      </c>
      <c r="G2" s="3" t="n">
        <v>47</v>
      </c>
      <c r="H2" s="3" t="inlineStr">
        <is>
          <t>Optimal</t>
        </is>
      </c>
    </row>
    <row r="3">
      <c r="A3" s="5" t="n">
        <v>-20</v>
      </c>
      <c r="B3" s="7" t="n">
        <v>22400</v>
      </c>
      <c r="C3" s="7" t="n">
        <v>40000</v>
      </c>
      <c r="D3" s="7" t="n">
        <v>72000</v>
      </c>
      <c r="E3" s="7" t="n">
        <v>45516363</v>
      </c>
      <c r="F3" s="5" t="n">
        <v>-1.54</v>
      </c>
      <c r="G3" s="4" t="n">
        <v>47</v>
      </c>
      <c r="H3" s="4" t="inlineStr">
        <is>
          <t>Optimal</t>
        </is>
      </c>
    </row>
    <row r="4">
      <c r="A4" s="5" t="n">
        <v>-10</v>
      </c>
      <c r="B4" s="6" t="n">
        <v>25200</v>
      </c>
      <c r="C4" s="6" t="n">
        <v>45000</v>
      </c>
      <c r="D4" s="6" t="n">
        <v>81000</v>
      </c>
      <c r="E4" s="6" t="n">
        <v>45872763</v>
      </c>
      <c r="F4" s="5" t="n">
        <v>-0.77</v>
      </c>
      <c r="G4" s="3" t="n">
        <v>47</v>
      </c>
      <c r="H4" s="3" t="inlineStr">
        <is>
          <t>Optimal</t>
        </is>
      </c>
    </row>
    <row r="5">
      <c r="A5" s="8" t="n">
        <v>0</v>
      </c>
      <c r="B5" s="7" t="n">
        <v>28000</v>
      </c>
      <c r="C5" s="7" t="n">
        <v>50000</v>
      </c>
      <c r="D5" s="7" t="n">
        <v>90000</v>
      </c>
      <c r="E5" s="7" t="n">
        <v>46229163</v>
      </c>
      <c r="F5" s="8" t="n">
        <v>0</v>
      </c>
      <c r="G5" s="4" t="n">
        <v>47</v>
      </c>
      <c r="H5" s="4" t="inlineStr">
        <is>
          <t>Optimal</t>
        </is>
      </c>
    </row>
    <row r="6">
      <c r="A6" s="9" t="n">
        <v>10</v>
      </c>
      <c r="B6" s="6" t="n">
        <v>30800</v>
      </c>
      <c r="C6" s="6" t="n">
        <v>55000</v>
      </c>
      <c r="D6" s="6" t="n">
        <v>99000</v>
      </c>
      <c r="E6" s="6" t="n">
        <v>46585563</v>
      </c>
      <c r="F6" s="9" t="n">
        <v>0.77</v>
      </c>
      <c r="G6" s="3" t="n">
        <v>47</v>
      </c>
      <c r="H6" s="3" t="inlineStr">
        <is>
          <t>Optimal</t>
        </is>
      </c>
    </row>
    <row r="7">
      <c r="A7" s="9" t="n">
        <v>20</v>
      </c>
      <c r="B7" s="7" t="n">
        <v>33600</v>
      </c>
      <c r="C7" s="7" t="n">
        <v>60000</v>
      </c>
      <c r="D7" s="7" t="n">
        <v>108000</v>
      </c>
      <c r="E7" s="7" t="n">
        <v>46941963</v>
      </c>
      <c r="F7" s="9" t="n">
        <v>1.54</v>
      </c>
      <c r="G7" s="4" t="n">
        <v>47</v>
      </c>
      <c r="H7" s="4" t="inlineStr">
        <is>
          <t>Optimal</t>
        </is>
      </c>
    </row>
    <row r="8">
      <c r="A8" s="9" t="n">
        <v>30</v>
      </c>
      <c r="B8" s="6" t="n">
        <v>36400</v>
      </c>
      <c r="C8" s="6" t="n">
        <v>65000</v>
      </c>
      <c r="D8" s="6" t="n">
        <v>117000</v>
      </c>
      <c r="E8" s="6" t="n">
        <v>47298363</v>
      </c>
      <c r="F8" s="9" t="n">
        <v>2.31</v>
      </c>
      <c r="G8" s="3" t="n">
        <v>47</v>
      </c>
      <c r="H8" s="3" t="inlineStr">
        <is>
          <t>Optimal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3" customWidth="1" min="4" max="4"/>
    <col width="23" customWidth="1" min="5" max="5"/>
    <col width="24" customWidth="1" min="6" max="6"/>
    <col width="15" customWidth="1" min="7" max="7"/>
    <col width="15" customWidth="1" min="8" max="8"/>
    <col width="11" customWidth="1" min="9" max="9"/>
  </cols>
  <sheetData>
    <row r="1" ht="30" customHeight="1">
      <c r="A1" s="2" t="inlineStr">
        <is>
          <t>Değişim (%)</t>
        </is>
      </c>
      <c r="B1" s="2" t="inlineStr">
        <is>
          <t>C_K1 (m³)</t>
        </is>
      </c>
      <c r="C1" s="2" t="inlineStr">
        <is>
          <t>C_K2 (m³)</t>
        </is>
      </c>
      <c r="D1" s="2" t="inlineStr">
        <is>
          <t>C_K3 (m³)</t>
        </is>
      </c>
      <c r="E1" s="2" t="inlineStr">
        <is>
          <t>Toplam Maliyet (TL)</t>
        </is>
      </c>
      <c r="F1" s="2" t="inlineStr">
        <is>
          <t>Maliyet Değişimi (%)</t>
        </is>
      </c>
      <c r="G1" s="2" t="inlineStr">
        <is>
          <t>Açılan Tank</t>
        </is>
      </c>
      <c r="H1" s="2" t="inlineStr">
        <is>
          <t>Dış Su (m³)</t>
        </is>
      </c>
      <c r="I1" s="2" t="inlineStr">
        <is>
          <t>Durum</t>
        </is>
      </c>
    </row>
    <row r="2">
      <c r="A2" s="5" t="n">
        <v>-20</v>
      </c>
      <c r="B2" s="3" t="n">
        <v>200</v>
      </c>
      <c r="C2" s="3" t="n">
        <v>400</v>
      </c>
      <c r="D2" s="3" t="n">
        <v>800</v>
      </c>
      <c r="E2" s="6" t="n">
        <v>59738900</v>
      </c>
      <c r="F2" s="9" t="n">
        <v>29.22</v>
      </c>
      <c r="G2" s="3" t="n">
        <v>61</v>
      </c>
      <c r="H2" s="3" t="n">
        <v>1704.7</v>
      </c>
      <c r="I2" s="3" t="inlineStr">
        <is>
          <t>Optimal</t>
        </is>
      </c>
    </row>
    <row r="3">
      <c r="A3" s="5" t="n">
        <v>-10</v>
      </c>
      <c r="B3" s="4" t="n">
        <v>225</v>
      </c>
      <c r="C3" s="4" t="n">
        <v>450</v>
      </c>
      <c r="D3" s="4" t="n">
        <v>900</v>
      </c>
      <c r="E3" s="7" t="n">
        <v>54307374</v>
      </c>
      <c r="F3" s="9" t="n">
        <v>17.47</v>
      </c>
      <c r="G3" s="4" t="n">
        <v>70</v>
      </c>
      <c r="H3" s="4" t="n">
        <v>2039.7</v>
      </c>
      <c r="I3" s="4" t="inlineStr">
        <is>
          <t>Optimal</t>
        </is>
      </c>
    </row>
    <row r="4">
      <c r="A4" s="8" t="n">
        <v>0</v>
      </c>
      <c r="B4" s="3" t="n">
        <v>250</v>
      </c>
      <c r="C4" s="3" t="n">
        <v>500</v>
      </c>
      <c r="D4" s="3" t="n">
        <v>1000</v>
      </c>
      <c r="E4" s="6" t="n">
        <v>46229163</v>
      </c>
      <c r="F4" s="8" t="n">
        <v>0</v>
      </c>
      <c r="G4" s="3" t="n">
        <v>47</v>
      </c>
      <c r="H4" s="3" t="n">
        <v>5707.8</v>
      </c>
      <c r="I4" s="3" t="inlineStr">
        <is>
          <t>Optimal</t>
        </is>
      </c>
    </row>
    <row r="5">
      <c r="A5" s="9" t="n">
        <v>10</v>
      </c>
      <c r="B5" s="4" t="n">
        <v>275</v>
      </c>
      <c r="C5" s="4" t="n">
        <v>550</v>
      </c>
      <c r="D5" s="4" t="n">
        <v>1100</v>
      </c>
      <c r="E5" s="7" t="n">
        <v>46165404</v>
      </c>
      <c r="F5" s="5" t="n">
        <v>-0.14</v>
      </c>
      <c r="G5" s="4" t="n">
        <v>47</v>
      </c>
      <c r="H5" s="4" t="n">
        <v>4957.7</v>
      </c>
      <c r="I5" s="4" t="inlineStr">
        <is>
          <t>Optimal</t>
        </is>
      </c>
    </row>
    <row r="6">
      <c r="A6" s="9" t="n">
        <v>20</v>
      </c>
      <c r="B6" s="3" t="n">
        <v>300</v>
      </c>
      <c r="C6" s="3" t="n">
        <v>600</v>
      </c>
      <c r="D6" s="3" t="n">
        <v>1200</v>
      </c>
      <c r="E6" s="6" t="n">
        <v>41627354</v>
      </c>
      <c r="F6" s="5" t="n">
        <v>-9.949999999999999</v>
      </c>
      <c r="G6" s="3" t="n">
        <v>53</v>
      </c>
      <c r="H6" s="3" t="n">
        <v>7757.1</v>
      </c>
      <c r="I6" s="3" t="inlineStr">
        <is>
          <t>Optimal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  <col width="20" customWidth="1" min="4" max="4"/>
    <col width="20" customWidth="1" min="5" max="5"/>
    <col width="20" customWidth="1" min="6" max="6"/>
    <col width="24" customWidth="1" min="7" max="7"/>
    <col width="13" customWidth="1" min="8" max="8"/>
    <col width="13" customWidth="1" min="9" max="9"/>
  </cols>
  <sheetData>
    <row r="1" ht="30" customHeight="1">
      <c r="A1" s="2" t="inlineStr">
        <is>
          <t>Parametre</t>
        </is>
      </c>
      <c r="B1" s="2" t="inlineStr">
        <is>
          <t>Alt Senaryo (%)</t>
        </is>
      </c>
      <c r="C1" s="2" t="inlineStr">
        <is>
          <t>Üst Senaryo (%)</t>
        </is>
      </c>
      <c r="D1" s="2" t="inlineStr">
        <is>
          <t>Alt Maliyet (TL)</t>
        </is>
      </c>
      <c r="E1" s="2" t="inlineStr">
        <is>
          <t>Baz Maliyet (TL)</t>
        </is>
      </c>
      <c r="F1" s="2" t="inlineStr">
        <is>
          <t>Üst Maliyet (TL)</t>
        </is>
      </c>
      <c r="G1" s="2" t="inlineStr">
        <is>
          <t>Maliyet Aralığı (TL)</t>
        </is>
      </c>
      <c r="H1" s="2" t="inlineStr">
        <is>
          <t>Alt Δ (%)</t>
        </is>
      </c>
      <c r="I1" s="2" t="inlineStr">
        <is>
          <t>Üst Δ (%)</t>
        </is>
      </c>
    </row>
    <row r="2">
      <c r="A2" s="3" t="inlineStr">
        <is>
          <t>Açılış Maliyeti F_k</t>
        </is>
      </c>
      <c r="B2" s="3" t="n">
        <v>-30</v>
      </c>
      <c r="C2" s="3" t="n">
        <v>30</v>
      </c>
      <c r="D2" s="6" t="n">
        <v>33574786</v>
      </c>
      <c r="E2" s="6" t="n">
        <v>46229163</v>
      </c>
      <c r="F2" s="6" t="n">
        <v>58883163</v>
      </c>
      <c r="G2" s="6" t="n">
        <v>25308378</v>
      </c>
      <c r="H2" s="3" t="n">
        <v>-27.37</v>
      </c>
      <c r="I2" s="3" t="n">
        <v>27.37</v>
      </c>
    </row>
    <row r="3">
      <c r="A3" s="4" t="inlineStr">
        <is>
          <t>Talep d_i</t>
        </is>
      </c>
      <c r="B3" s="4" t="n">
        <v>-20</v>
      </c>
      <c r="C3" s="4" t="n">
        <v>20</v>
      </c>
      <c r="D3" s="7" t="n">
        <v>40326780</v>
      </c>
      <c r="E3" s="7" t="n">
        <v>46229163</v>
      </c>
      <c r="F3" s="7" t="n">
        <v>59099218</v>
      </c>
      <c r="G3" s="7" t="n">
        <v>18772438</v>
      </c>
      <c r="H3" s="4" t="n">
        <v>-12.77</v>
      </c>
      <c r="I3" s="4" t="n">
        <v>27.84</v>
      </c>
    </row>
    <row r="4">
      <c r="A4" s="3" t="inlineStr">
        <is>
          <t>Tank Kapasitesi C_k</t>
        </is>
      </c>
      <c r="B4" s="3" t="n">
        <v>-20</v>
      </c>
      <c r="C4" s="3" t="n">
        <v>20</v>
      </c>
      <c r="D4" s="6" t="n">
        <v>59738900</v>
      </c>
      <c r="E4" s="6" t="n">
        <v>46229163</v>
      </c>
      <c r="F4" s="6" t="n">
        <v>41627354</v>
      </c>
      <c r="G4" s="6" t="n">
        <v>18111546</v>
      </c>
      <c r="H4" s="3" t="n">
        <v>29.22</v>
      </c>
      <c r="I4" s="3" t="n">
        <v>-9.949999999999999</v>
      </c>
    </row>
    <row r="5">
      <c r="A5" s="4" t="inlineStr">
        <is>
          <t>İşletme Maliyeti O_k</t>
        </is>
      </c>
      <c r="B5" s="4" t="n">
        <v>-30</v>
      </c>
      <c r="C5" s="4" t="n">
        <v>30</v>
      </c>
      <c r="D5" s="7" t="n">
        <v>45159963</v>
      </c>
      <c r="E5" s="7" t="n">
        <v>46229163</v>
      </c>
      <c r="F5" s="7" t="n">
        <v>47298363</v>
      </c>
      <c r="G5" s="7" t="n">
        <v>2138400</v>
      </c>
      <c r="H5" s="4" t="n">
        <v>-2.31</v>
      </c>
      <c r="I5" s="4" t="n">
        <v>2.31</v>
      </c>
    </row>
    <row r="6">
      <c r="A6" s="3" t="inlineStr">
        <is>
          <t>Dış Su Maliyeti c_ext</t>
        </is>
      </c>
      <c r="B6" s="3" t="n">
        <v>-40</v>
      </c>
      <c r="C6" s="3" t="n">
        <v>40</v>
      </c>
      <c r="D6" s="6" t="n">
        <v>46035098</v>
      </c>
      <c r="E6" s="6" t="n">
        <v>46229163</v>
      </c>
      <c r="F6" s="6" t="n">
        <v>46415577</v>
      </c>
      <c r="G6" s="6" t="n">
        <v>380479</v>
      </c>
      <c r="H6" s="3" t="n">
        <v>-0.42</v>
      </c>
      <c r="I6" s="3" t="n">
        <v>0.4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2026-05-12T02:32:32Z</dcterms:created>
  <dcterms:modified xsi:type="dcterms:W3CDTF">2026-05-12T02:32:32Z</dcterms:modified>
</cp:coreProperties>
</file>